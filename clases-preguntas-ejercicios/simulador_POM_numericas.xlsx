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work\Teaching\unc-grado-fpub-finanzas-publicas\evaluaciones\"/>
    </mc:Choice>
  </mc:AlternateContent>
  <xr:revisionPtr revIDLastSave="0" documentId="13_ncr:1_{136E9A8D-C5B6-451C-AC6E-6815F37ACC71}" xr6:coauthVersionLast="47" xr6:coauthVersionMax="47" xr10:uidLastSave="{00000000-0000-0000-0000-000000000000}"/>
  <bookViews>
    <workbookView xWindow="-110" yWindow="-110" windowWidth="19420" windowHeight="10300" tabRatio="771" xr2:uid="{2439DB56-38B8-4592-AC19-7EC7E213FA72}"/>
  </bookViews>
  <sheets>
    <sheet name="borda1_condorcet" sheetId="1" r:id="rId1"/>
    <sheet name="enp_sim" sheetId="8" r:id="rId2"/>
    <sheet name="imp" sheetId="2" r:id="rId3"/>
    <sheet name="incidencia1" sheetId="3" r:id="rId4"/>
    <sheet name="vp" sheetId="7" r:id="rId5"/>
    <sheet name="consumo" sheetId="5" r:id="rId6"/>
    <sheet name="deuda" sheetId="6" r:id="rId7"/>
    <sheet name="incidencia2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7" l="1"/>
  <c r="I3" i="8"/>
  <c r="H3" i="8"/>
  <c r="G3" i="8"/>
  <c r="F3" i="8"/>
  <c r="E3" i="8"/>
  <c r="D3" i="8"/>
  <c r="C3" i="8"/>
  <c r="B3" i="8"/>
  <c r="E5" i="7"/>
  <c r="C5" i="7"/>
  <c r="B5" i="7"/>
  <c r="G17" i="3"/>
  <c r="G10" i="3"/>
  <c r="G13" i="3" s="1"/>
  <c r="G9" i="3"/>
  <c r="G12" i="3" s="1"/>
  <c r="G6" i="3"/>
  <c r="F17" i="3"/>
  <c r="F10" i="3"/>
  <c r="F13" i="3" s="1"/>
  <c r="F9" i="3"/>
  <c r="F12" i="3" s="1"/>
  <c r="F15" i="3" s="1"/>
  <c r="F6" i="3"/>
  <c r="E17" i="3"/>
  <c r="E10" i="3"/>
  <c r="E13" i="3" s="1"/>
  <c r="E9" i="3"/>
  <c r="E12" i="3" s="1"/>
  <c r="E6" i="3"/>
  <c r="D17" i="3"/>
  <c r="D10" i="3"/>
  <c r="D13" i="3" s="1"/>
  <c r="D9" i="3"/>
  <c r="D12" i="3" s="1"/>
  <c r="D6" i="3"/>
  <c r="E6" i="2"/>
  <c r="C6" i="2" s="1"/>
  <c r="B6" i="6"/>
  <c r="B6" i="5"/>
  <c r="C17" i="3"/>
  <c r="B17" i="3"/>
  <c r="C10" i="3"/>
  <c r="C13" i="3" s="1"/>
  <c r="C9" i="3"/>
  <c r="C12" i="3" s="1"/>
  <c r="C15" i="3" s="1"/>
  <c r="C6" i="3"/>
  <c r="B13" i="3"/>
  <c r="B12" i="3"/>
  <c r="B10" i="3"/>
  <c r="B9" i="3"/>
  <c r="B6" i="3"/>
  <c r="R5" i="1"/>
  <c r="P5" i="1"/>
  <c r="P7" i="1"/>
  <c r="P6" i="1"/>
  <c r="R7" i="1"/>
  <c r="R6" i="1"/>
  <c r="R4" i="1"/>
  <c r="E5" i="2"/>
  <c r="C5" i="2" s="1"/>
  <c r="E4" i="2"/>
  <c r="C4" i="2" s="1"/>
  <c r="C3" i="2"/>
  <c r="E3" i="2"/>
  <c r="H13" i="1"/>
  <c r="H12" i="1"/>
  <c r="H11" i="1"/>
  <c r="H10" i="1"/>
  <c r="H9" i="1"/>
  <c r="G13" i="1"/>
  <c r="G12" i="1"/>
  <c r="G11" i="1"/>
  <c r="G10" i="1"/>
  <c r="G9" i="1"/>
  <c r="F13" i="1"/>
  <c r="F12" i="1"/>
  <c r="F11" i="1"/>
  <c r="F10" i="1"/>
  <c r="F9" i="1"/>
  <c r="E13" i="1"/>
  <c r="E12" i="1"/>
  <c r="E11" i="1"/>
  <c r="E10" i="1"/>
  <c r="E9" i="1"/>
  <c r="D13" i="1"/>
  <c r="D12" i="1"/>
  <c r="D11" i="1"/>
  <c r="D10" i="1"/>
  <c r="D9" i="1"/>
  <c r="C13" i="1"/>
  <c r="C12" i="1"/>
  <c r="C11" i="1"/>
  <c r="C10" i="1"/>
  <c r="C9" i="1"/>
  <c r="G15" i="3" l="1"/>
  <c r="E15" i="3"/>
  <c r="D15" i="3"/>
  <c r="B15" i="3"/>
  <c r="I9" i="1"/>
  <c r="I10" i="1"/>
  <c r="I11" i="1"/>
  <c r="I12" i="1"/>
  <c r="I13" i="1"/>
</calcChain>
</file>

<file path=xl/sharedStrings.xml><?xml version="1.0" encoding="utf-8"?>
<sst xmlns="http://schemas.openxmlformats.org/spreadsheetml/2006/main" count="119" uniqueCount="69">
  <si>
    <t>g1</t>
  </si>
  <si>
    <t>g2</t>
  </si>
  <si>
    <t>g3</t>
  </si>
  <si>
    <t>g4</t>
  </si>
  <si>
    <t>g5</t>
  </si>
  <si>
    <t>g6</t>
  </si>
  <si>
    <t>n1</t>
  </si>
  <si>
    <t>n2</t>
  </si>
  <si>
    <t>n3</t>
  </si>
  <si>
    <t>n4</t>
  </si>
  <si>
    <t>n5</t>
  </si>
  <si>
    <t>n6</t>
  </si>
  <si>
    <t>n</t>
  </si>
  <si>
    <t>1st</t>
  </si>
  <si>
    <t>2nd</t>
  </si>
  <si>
    <t>3rd</t>
  </si>
  <si>
    <t>4th</t>
  </si>
  <si>
    <t>5th</t>
  </si>
  <si>
    <t>A</t>
  </si>
  <si>
    <t>D</t>
  </si>
  <si>
    <t>E</t>
  </si>
  <si>
    <t>C</t>
  </si>
  <si>
    <t>B</t>
  </si>
  <si>
    <t>t_ir</t>
  </si>
  <si>
    <t>R1</t>
  </si>
  <si>
    <t>R0</t>
  </si>
  <si>
    <t>i</t>
  </si>
  <si>
    <t>t_w</t>
  </si>
  <si>
    <t>vs</t>
  </si>
  <si>
    <t>WINNER</t>
  </si>
  <si>
    <t>Pe</t>
  </si>
  <si>
    <t>Qe</t>
  </si>
  <si>
    <t>Pe1</t>
  </si>
  <si>
    <t>Qe1</t>
  </si>
  <si>
    <t>T</t>
  </si>
  <si>
    <t>%incC</t>
  </si>
  <si>
    <t>incUniC</t>
  </si>
  <si>
    <t>incUniP</t>
  </si>
  <si>
    <t>EX_C</t>
  </si>
  <si>
    <t>EX_P</t>
  </si>
  <si>
    <t>EX_TOT</t>
  </si>
  <si>
    <t>RT</t>
  </si>
  <si>
    <t>INC TOT C</t>
  </si>
  <si>
    <t>INC TOT P</t>
  </si>
  <si>
    <t>Y1</t>
  </si>
  <si>
    <t>Y2</t>
  </si>
  <si>
    <t>C1</t>
  </si>
  <si>
    <t>C2</t>
  </si>
  <si>
    <t>Dt</t>
  </si>
  <si>
    <t>gamma</t>
  </si>
  <si>
    <t>r</t>
  </si>
  <si>
    <t>Bt</t>
  </si>
  <si>
    <t>Bt+1</t>
  </si>
  <si>
    <t>var001</t>
  </si>
  <si>
    <t>var003</t>
  </si>
  <si>
    <t>var002</t>
  </si>
  <si>
    <t>ver exam</t>
  </si>
  <si>
    <t>ver002</t>
  </si>
  <si>
    <t>ver 002</t>
  </si>
  <si>
    <t>ver 003</t>
  </si>
  <si>
    <t>Y</t>
  </si>
  <si>
    <t>vp</t>
  </si>
  <si>
    <t>ver001</t>
  </si>
  <si>
    <t>ver003</t>
  </si>
  <si>
    <t>ver004</t>
  </si>
  <si>
    <t>Sum</t>
  </si>
  <si>
    <t>ENP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</si>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</sst>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  <xf numFmtId="0" fontId="0" fillId="4" borderId="0" xfId="0" applyFill="1" applyAlignment="1">
      <alignment horizontal="center"/>
    </xf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6A69-018E-4497-94CF-8E905129ADF2}">
  <dimension ref="A1:T17"/>
  <sheetViews>
    <sheetView tabSelected="1" workbookViewId="0">
      <selection activeCell="I13" sqref="I13"/>
    </sheetView>
  </sheetViews>
  <sheetFormatPr defaultRowHeight="14.5" x14ac:dyDescent="0.35"/>
  <cols>
    <col min="3" max="8" width="8.7265625" style="1"/>
    <col min="15" max="15" width="3.81640625" customWidth="1"/>
  </cols>
  <sheetData>
    <row r="1" spans="1:20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/>
    </row>
    <row r="2" spans="1:20" x14ac:dyDescent="0.3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20" x14ac:dyDescent="0.35">
      <c r="A3" t="s">
        <v>12</v>
      </c>
      <c r="C3" s="2">
        <v>9</v>
      </c>
      <c r="D3" s="2">
        <v>18</v>
      </c>
      <c r="E3" s="2">
        <v>2</v>
      </c>
      <c r="F3" s="2">
        <v>4</v>
      </c>
      <c r="G3" s="2">
        <v>12</v>
      </c>
      <c r="H3" s="2">
        <v>10</v>
      </c>
      <c r="R3" t="s">
        <v>29</v>
      </c>
    </row>
    <row r="4" spans="1:20" x14ac:dyDescent="0.35">
      <c r="A4" t="s">
        <v>13</v>
      </c>
      <c r="B4">
        <v>4</v>
      </c>
      <c r="C4" s="3" t="s">
        <v>18</v>
      </c>
      <c r="D4" s="3" t="s">
        <v>22</v>
      </c>
      <c r="E4" s="3" t="s">
        <v>21</v>
      </c>
      <c r="F4" s="3" t="s">
        <v>19</v>
      </c>
      <c r="G4" s="3" t="s">
        <v>20</v>
      </c>
      <c r="H4" s="3" t="s">
        <v>20</v>
      </c>
      <c r="L4" s="3" t="s">
        <v>18</v>
      </c>
      <c r="M4" s="3" t="s">
        <v>28</v>
      </c>
      <c r="N4" s="3" t="s">
        <v>22</v>
      </c>
      <c r="P4">
        <v>12</v>
      </c>
      <c r="Q4" s="3" t="s">
        <v>28</v>
      </c>
      <c r="R4">
        <f>12+10+9+4+2</f>
        <v>37</v>
      </c>
      <c r="T4" t="s">
        <v>22</v>
      </c>
    </row>
    <row r="5" spans="1:20" x14ac:dyDescent="0.35">
      <c r="A5" t="s">
        <v>14</v>
      </c>
      <c r="B5">
        <v>3</v>
      </c>
      <c r="C5" s="3" t="s">
        <v>19</v>
      </c>
      <c r="D5" s="3" t="s">
        <v>20</v>
      </c>
      <c r="E5" s="3" t="s">
        <v>67</v>
      </c>
      <c r="F5" s="3" t="s">
        <v>21</v>
      </c>
      <c r="G5" s="3" t="s">
        <v>22</v>
      </c>
      <c r="H5" s="3" t="s">
        <v>21</v>
      </c>
      <c r="L5" s="3" t="s">
        <v>22</v>
      </c>
      <c r="M5" s="3" t="s">
        <v>28</v>
      </c>
      <c r="N5" s="3" t="s">
        <v>21</v>
      </c>
      <c r="P5">
        <f>18+10</f>
        <v>28</v>
      </c>
      <c r="Q5" s="3" t="s">
        <v>28</v>
      </c>
      <c r="R5">
        <f>12+2+4+9</f>
        <v>27</v>
      </c>
      <c r="T5" t="s">
        <v>21</v>
      </c>
    </row>
    <row r="6" spans="1:20" x14ac:dyDescent="0.35">
      <c r="A6" t="s">
        <v>15</v>
      </c>
      <c r="B6">
        <v>2</v>
      </c>
      <c r="C6" s="3" t="s">
        <v>20</v>
      </c>
      <c r="D6" s="3" t="s">
        <v>19</v>
      </c>
      <c r="E6" s="3" t="s">
        <v>68</v>
      </c>
      <c r="F6" s="3" t="s">
        <v>20</v>
      </c>
      <c r="G6" s="3" t="s">
        <v>19</v>
      </c>
      <c r="H6" s="3" t="s">
        <v>19</v>
      </c>
      <c r="L6" s="3" t="s">
        <v>21</v>
      </c>
      <c r="M6" s="3" t="s">
        <v>28</v>
      </c>
      <c r="N6" s="3" t="s">
        <v>19</v>
      </c>
      <c r="P6">
        <f>2+10</f>
        <v>12</v>
      </c>
      <c r="Q6" s="3" t="s">
        <v>28</v>
      </c>
      <c r="R6">
        <f>18+12+9+4</f>
        <v>43</v>
      </c>
      <c r="T6" t="s">
        <v>19</v>
      </c>
    </row>
    <row r="7" spans="1:20" x14ac:dyDescent="0.35">
      <c r="A7" t="s">
        <v>16</v>
      </c>
      <c r="B7">
        <v>1</v>
      </c>
      <c r="C7" s="3" t="s">
        <v>21</v>
      </c>
      <c r="D7" s="3" t="s">
        <v>21</v>
      </c>
      <c r="E7" s="3" t="s">
        <v>19</v>
      </c>
      <c r="F7" s="3" t="s">
        <v>22</v>
      </c>
      <c r="G7" s="3" t="s">
        <v>21</v>
      </c>
      <c r="H7" s="3" t="s">
        <v>22</v>
      </c>
      <c r="L7" s="3" t="s">
        <v>19</v>
      </c>
      <c r="M7" s="3" t="s">
        <v>28</v>
      </c>
      <c r="N7" s="3" t="s">
        <v>20</v>
      </c>
      <c r="P7">
        <f>12+4</f>
        <v>16</v>
      </c>
      <c r="Q7" s="3" t="s">
        <v>28</v>
      </c>
      <c r="R7">
        <f>12+10+4+2</f>
        <v>28</v>
      </c>
      <c r="T7" t="s">
        <v>20</v>
      </c>
    </row>
    <row r="8" spans="1:20" x14ac:dyDescent="0.35">
      <c r="A8" t="s">
        <v>17</v>
      </c>
      <c r="B8">
        <v>0</v>
      </c>
      <c r="C8" s="3" t="s">
        <v>22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</row>
    <row r="9" spans="1:20" x14ac:dyDescent="0.35">
      <c r="A9" t="s">
        <v>18</v>
      </c>
      <c r="C9" s="1">
        <f t="shared" ref="C9:H13" si="0">COUNTA($A$4:$A$8)-MATCH($A9,C$4:C$8,0)</f>
        <v>4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5">
        <f>C9*$C$3+D9*$D$3+E9*$E$3+F9*$F$3+G9*$G$3+H9*$H$3</f>
        <v>36</v>
      </c>
    </row>
    <row r="10" spans="1:20" x14ac:dyDescent="0.35">
      <c r="A10" t="s">
        <v>22</v>
      </c>
      <c r="C10" s="1">
        <f t="shared" si="0"/>
        <v>0</v>
      </c>
      <c r="D10" s="1">
        <f t="shared" si="0"/>
        <v>4</v>
      </c>
      <c r="E10" s="1">
        <f t="shared" si="0"/>
        <v>3</v>
      </c>
      <c r="F10" s="1">
        <f t="shared" si="0"/>
        <v>1</v>
      </c>
      <c r="G10" s="1">
        <f t="shared" si="0"/>
        <v>3</v>
      </c>
      <c r="H10" s="1">
        <f t="shared" si="0"/>
        <v>1</v>
      </c>
      <c r="I10" s="5">
        <f>C10*$C$3+D10*$D$3+E10*$E$3+F10*$F$3+G10*$G$3+H10*$H$3</f>
        <v>128</v>
      </c>
      <c r="M10">
        <v>40</v>
      </c>
    </row>
    <row r="11" spans="1:20" x14ac:dyDescent="0.35">
      <c r="A11" t="s">
        <v>21</v>
      </c>
      <c r="C11" s="1">
        <f t="shared" si="0"/>
        <v>1</v>
      </c>
      <c r="D11" s="1">
        <f t="shared" si="0"/>
        <v>1</v>
      </c>
      <c r="E11" s="1">
        <f t="shared" si="0"/>
        <v>4</v>
      </c>
      <c r="F11" s="1">
        <f t="shared" si="0"/>
        <v>3</v>
      </c>
      <c r="G11" s="1">
        <f t="shared" si="0"/>
        <v>1</v>
      </c>
      <c r="H11" s="1">
        <f t="shared" si="0"/>
        <v>3</v>
      </c>
      <c r="I11" s="5">
        <f>C11*$C$3+D11*$D$3+E11*$E$3+F11*$F$3+G11*$G$3+H11*$H$3</f>
        <v>89</v>
      </c>
      <c r="M11">
        <v>30</v>
      </c>
    </row>
    <row r="12" spans="1:20" x14ac:dyDescent="0.35">
      <c r="A12" t="s">
        <v>19</v>
      </c>
      <c r="C12" s="1">
        <f t="shared" si="0"/>
        <v>3</v>
      </c>
      <c r="D12" s="1">
        <f t="shared" si="0"/>
        <v>2</v>
      </c>
      <c r="E12" s="1">
        <f t="shared" si="0"/>
        <v>1</v>
      </c>
      <c r="F12" s="1">
        <f t="shared" si="0"/>
        <v>4</v>
      </c>
      <c r="G12" s="1">
        <f t="shared" si="0"/>
        <v>2</v>
      </c>
      <c r="H12" s="1">
        <f t="shared" si="0"/>
        <v>2</v>
      </c>
      <c r="I12" s="5">
        <f>C12*$C$3+D12*$D$3+E12*$E$3+F12*$F$3+G12*$G$3+H12*$H$3</f>
        <v>125</v>
      </c>
      <c r="M12">
        <v>9</v>
      </c>
    </row>
    <row r="13" spans="1:20" x14ac:dyDescent="0.35">
      <c r="A13" t="s">
        <v>20</v>
      </c>
      <c r="C13" s="1">
        <f t="shared" si="0"/>
        <v>2</v>
      </c>
      <c r="D13" s="1">
        <f t="shared" si="0"/>
        <v>3</v>
      </c>
      <c r="E13" s="1">
        <f t="shared" si="0"/>
        <v>2</v>
      </c>
      <c r="F13" s="1">
        <f t="shared" si="0"/>
        <v>2</v>
      </c>
      <c r="G13" s="1">
        <f t="shared" si="0"/>
        <v>4</v>
      </c>
      <c r="H13" s="1">
        <f t="shared" si="0"/>
        <v>4</v>
      </c>
      <c r="I13" s="5">
        <f>C13*$C$3+D13*$D$3+E13*$E$3+F13*$F$3+G13*$G$3+H13*$H$3</f>
        <v>172</v>
      </c>
      <c r="M13">
        <v>12</v>
      </c>
    </row>
    <row r="14" spans="1:20" x14ac:dyDescent="0.35">
      <c r="M14">
        <v>8</v>
      </c>
    </row>
    <row r="15" spans="1:20" x14ac:dyDescent="0.35">
      <c r="A15" t="s">
        <v>53</v>
      </c>
      <c r="C15" s="1">
        <v>10</v>
      </c>
      <c r="D15" s="1">
        <v>4</v>
      </c>
      <c r="E15" s="1">
        <v>2</v>
      </c>
      <c r="F15" s="1">
        <v>9</v>
      </c>
      <c r="G15" s="1">
        <v>12</v>
      </c>
      <c r="H15" s="1">
        <v>18</v>
      </c>
    </row>
    <row r="16" spans="1:20" x14ac:dyDescent="0.35">
      <c r="A16" t="s">
        <v>55</v>
      </c>
      <c r="C16" s="1">
        <v>2</v>
      </c>
      <c r="D16" s="1">
        <v>10</v>
      </c>
      <c r="E16" s="1">
        <v>9</v>
      </c>
      <c r="F16" s="1">
        <v>4</v>
      </c>
      <c r="G16" s="1">
        <v>18</v>
      </c>
      <c r="H16" s="1">
        <v>12</v>
      </c>
    </row>
    <row r="17" spans="1:8" x14ac:dyDescent="0.35">
      <c r="A17" t="s">
        <v>54</v>
      </c>
      <c r="C17" s="1">
        <v>9</v>
      </c>
      <c r="D17" s="1">
        <v>18</v>
      </c>
      <c r="E17" s="1">
        <v>2</v>
      </c>
      <c r="F17" s="1">
        <v>4</v>
      </c>
      <c r="G17" s="1">
        <v>12</v>
      </c>
      <c r="H17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29A7-BA89-41A8-9461-DD0AD1300668}">
  <dimension ref="B1:I3"/>
  <sheetViews>
    <sheetView workbookViewId="0">
      <selection activeCell="B2" sqref="B2:G2"/>
    </sheetView>
  </sheetViews>
  <sheetFormatPr defaultRowHeight="14.5" x14ac:dyDescent="0.35"/>
  <sheetData>
    <row r="1" spans="2:9" x14ac:dyDescent="0.35">
      <c r="H1" t="s">
        <v>65</v>
      </c>
      <c r="I1" t="s">
        <v>66</v>
      </c>
    </row>
    <row r="2" spans="2:9" x14ac:dyDescent="0.35">
      <c r="B2">
        <v>0.47</v>
      </c>
      <c r="C2">
        <v>0.25</v>
      </c>
      <c r="D2">
        <v>0.08</v>
      </c>
      <c r="E2">
        <v>0.08</v>
      </c>
      <c r="F2">
        <v>0.08</v>
      </c>
      <c r="G2">
        <v>0.04</v>
      </c>
    </row>
    <row r="3" spans="2:9" x14ac:dyDescent="0.35">
      <c r="B3">
        <f t="shared" ref="B3:G3" si="0">+B2^2</f>
        <v>0.22089999999999999</v>
      </c>
      <c r="C3">
        <f t="shared" si="0"/>
        <v>6.25E-2</v>
      </c>
      <c r="D3">
        <f t="shared" si="0"/>
        <v>6.4000000000000003E-3</v>
      </c>
      <c r="E3">
        <f t="shared" si="0"/>
        <v>6.4000000000000003E-3</v>
      </c>
      <c r="F3">
        <f t="shared" si="0"/>
        <v>6.4000000000000003E-3</v>
      </c>
      <c r="G3">
        <f t="shared" si="0"/>
        <v>1.6000000000000001E-3</v>
      </c>
      <c r="H3">
        <f>SUM(B3:G3)</f>
        <v>0.30420000000000003</v>
      </c>
      <c r="I3">
        <f>1/H3</f>
        <v>3.2873109796186717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6012-EE2B-4744-98B2-097356222241}">
  <dimension ref="B2:F6"/>
  <sheetViews>
    <sheetView workbookViewId="0">
      <selection activeCell="C3" sqref="C3"/>
    </sheetView>
  </sheetViews>
  <sheetFormatPr defaultRowHeight="14.5" x14ac:dyDescent="0.35"/>
  <sheetData>
    <row r="2" spans="2:6" x14ac:dyDescent="0.35">
      <c r="B2" t="s">
        <v>26</v>
      </c>
      <c r="C2" t="s">
        <v>23</v>
      </c>
      <c r="D2" t="s">
        <v>27</v>
      </c>
      <c r="E2" t="s">
        <v>24</v>
      </c>
      <c r="F2" t="s">
        <v>25</v>
      </c>
    </row>
    <row r="3" spans="2:6" x14ac:dyDescent="0.35">
      <c r="B3">
        <v>0.05</v>
      </c>
      <c r="C3">
        <f>-(E3/F3-1-B3)/B3</f>
        <v>0.52500000000000124</v>
      </c>
      <c r="D3">
        <v>2.5000000000000001E-2</v>
      </c>
      <c r="E3">
        <f>+F3*(1+B3)*(1-D3)</f>
        <v>2047500</v>
      </c>
      <c r="F3">
        <v>2000000</v>
      </c>
    </row>
    <row r="4" spans="2:6" x14ac:dyDescent="0.35">
      <c r="B4">
        <v>2.5000000000000001E-2</v>
      </c>
      <c r="C4">
        <f>-(E4/F4-1-B4)/B4</f>
        <v>0.51250000000000817</v>
      </c>
      <c r="D4">
        <v>1.2500000000000001E-2</v>
      </c>
      <c r="E4">
        <f>+F4*(1+B4)*(1-D4)</f>
        <v>2024374.9999999998</v>
      </c>
      <c r="F4">
        <v>2000000</v>
      </c>
    </row>
    <row r="5" spans="2:6" x14ac:dyDescent="0.35">
      <c r="B5">
        <v>0.04</v>
      </c>
      <c r="C5">
        <f>-(E5/F5-1-B5)/B5</f>
        <v>0.64999999999999969</v>
      </c>
      <c r="D5">
        <v>2.5000000000000001E-2</v>
      </c>
      <c r="E5">
        <f>+F5*(1+B5)*(1-D5)</f>
        <v>1521000</v>
      </c>
      <c r="F5">
        <v>1500000</v>
      </c>
    </row>
    <row r="6" spans="2:6" x14ac:dyDescent="0.35">
      <c r="B6">
        <v>0.04</v>
      </c>
      <c r="C6">
        <f>-(E6/F6-1-B6)/B6</f>
        <v>0.1624999999999979</v>
      </c>
      <c r="D6">
        <v>6.2500000000000003E-3</v>
      </c>
      <c r="E6">
        <f>+F6*(1+B6)*(1-D6)</f>
        <v>1550250</v>
      </c>
      <c r="F6">
        <v>1500000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0EBC-CB2F-400A-AB66-4014B8326420}">
  <dimension ref="A1:G20"/>
  <sheetViews>
    <sheetView topLeftCell="A3" workbookViewId="0">
      <selection activeCell="H12" sqref="H12"/>
    </sheetView>
  </sheetViews>
  <sheetFormatPr defaultRowHeight="14.5" x14ac:dyDescent="0.35"/>
  <sheetData>
    <row r="1" spans="1:7" x14ac:dyDescent="0.35">
      <c r="E1" t="s">
        <v>56</v>
      </c>
      <c r="F1" t="s">
        <v>58</v>
      </c>
      <c r="G1" t="s">
        <v>59</v>
      </c>
    </row>
    <row r="2" spans="1:7" x14ac:dyDescent="0.35">
      <c r="A2" t="s">
        <v>30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</row>
    <row r="3" spans="1:7" x14ac:dyDescent="0.35">
      <c r="A3" t="s">
        <v>31</v>
      </c>
      <c r="B3">
        <v>940</v>
      </c>
      <c r="C3">
        <v>940</v>
      </c>
      <c r="D3">
        <v>940</v>
      </c>
      <c r="E3">
        <v>940</v>
      </c>
      <c r="F3">
        <v>940</v>
      </c>
      <c r="G3">
        <v>940</v>
      </c>
    </row>
    <row r="4" spans="1:7" x14ac:dyDescent="0.35">
      <c r="A4" t="s">
        <v>34</v>
      </c>
      <c r="B4" s="4">
        <v>1.75</v>
      </c>
      <c r="C4" s="4">
        <v>2.25</v>
      </c>
      <c r="D4" s="4">
        <v>1.4</v>
      </c>
      <c r="E4" s="4">
        <v>3</v>
      </c>
      <c r="F4" s="4">
        <v>2.5</v>
      </c>
      <c r="G4" s="4">
        <v>1.5</v>
      </c>
    </row>
    <row r="5" spans="1:7" x14ac:dyDescent="0.35">
      <c r="A5" t="s">
        <v>35</v>
      </c>
      <c r="B5" s="4">
        <v>0.6</v>
      </c>
      <c r="C5" s="4">
        <v>0.4</v>
      </c>
      <c r="D5" s="4">
        <v>0.6</v>
      </c>
      <c r="E5" s="6">
        <v>0.6</v>
      </c>
      <c r="F5" s="6">
        <v>0.6</v>
      </c>
      <c r="G5" s="6">
        <v>0.6</v>
      </c>
    </row>
    <row r="6" spans="1:7" x14ac:dyDescent="0.35">
      <c r="A6" t="s">
        <v>32</v>
      </c>
      <c r="B6">
        <f t="shared" ref="B6:G6" si="0">B2+(B4*B5)</f>
        <v>8.0500000000000007</v>
      </c>
      <c r="C6">
        <f t="shared" si="0"/>
        <v>7.9</v>
      </c>
      <c r="D6">
        <f t="shared" si="0"/>
        <v>7.84</v>
      </c>
      <c r="E6" s="7">
        <f t="shared" si="0"/>
        <v>8.8000000000000007</v>
      </c>
      <c r="F6" s="7">
        <f t="shared" si="0"/>
        <v>8.5</v>
      </c>
      <c r="G6" s="7">
        <f t="shared" si="0"/>
        <v>7.9</v>
      </c>
    </row>
    <row r="7" spans="1:7" x14ac:dyDescent="0.35">
      <c r="A7" t="s">
        <v>33</v>
      </c>
      <c r="B7">
        <v>750</v>
      </c>
      <c r="C7">
        <v>650</v>
      </c>
      <c r="D7">
        <v>750</v>
      </c>
      <c r="E7" s="7">
        <v>600</v>
      </c>
      <c r="F7" s="7">
        <v>600</v>
      </c>
      <c r="G7" s="7">
        <v>725</v>
      </c>
    </row>
    <row r="8" spans="1:7" x14ac:dyDescent="0.35">
      <c r="E8" s="7"/>
      <c r="F8" s="7"/>
      <c r="G8" s="7"/>
    </row>
    <row r="9" spans="1:7" x14ac:dyDescent="0.35">
      <c r="A9" t="s">
        <v>36</v>
      </c>
      <c r="B9">
        <f t="shared" ref="B9:G9" si="1">B4*B5</f>
        <v>1.05</v>
      </c>
      <c r="C9">
        <f t="shared" si="1"/>
        <v>0.9</v>
      </c>
      <c r="D9">
        <f t="shared" si="1"/>
        <v>0.84</v>
      </c>
      <c r="E9" s="7">
        <f t="shared" si="1"/>
        <v>1.7999999999999998</v>
      </c>
      <c r="F9" s="7">
        <f t="shared" si="1"/>
        <v>1.5</v>
      </c>
      <c r="G9" s="7">
        <f t="shared" si="1"/>
        <v>0.89999999999999991</v>
      </c>
    </row>
    <row r="10" spans="1:7" x14ac:dyDescent="0.35">
      <c r="A10" t="s">
        <v>37</v>
      </c>
      <c r="B10">
        <f t="shared" ref="B10:G10" si="2">B4-(B4*B5)</f>
        <v>0.7</v>
      </c>
      <c r="C10">
        <f t="shared" si="2"/>
        <v>1.35</v>
      </c>
      <c r="D10">
        <f t="shared" si="2"/>
        <v>0.55999999999999994</v>
      </c>
      <c r="E10" s="7">
        <f t="shared" si="2"/>
        <v>1.2000000000000002</v>
      </c>
      <c r="F10" s="7">
        <f t="shared" si="2"/>
        <v>1</v>
      </c>
      <c r="G10" s="7">
        <f t="shared" si="2"/>
        <v>0.60000000000000009</v>
      </c>
    </row>
    <row r="11" spans="1:7" x14ac:dyDescent="0.35">
      <c r="E11" s="7"/>
      <c r="F11" s="7"/>
      <c r="G11" s="7"/>
    </row>
    <row r="12" spans="1:7" x14ac:dyDescent="0.35">
      <c r="A12" t="s">
        <v>38</v>
      </c>
      <c r="B12">
        <f t="shared" ref="B12:D13" si="3">(B9*(B$3-B$7))/2</f>
        <v>99.75</v>
      </c>
      <c r="C12">
        <f t="shared" si="3"/>
        <v>130.5</v>
      </c>
      <c r="D12">
        <f t="shared" si="3"/>
        <v>79.8</v>
      </c>
      <c r="E12" s="7">
        <f t="shared" ref="E12:F12" si="4">(E9*(E$3-E$7))/2</f>
        <v>305.99999999999994</v>
      </c>
      <c r="F12" s="7">
        <f t="shared" si="4"/>
        <v>255</v>
      </c>
      <c r="G12" s="7">
        <f t="shared" ref="G12" si="5">(G9*(G$3-G$7))/2</f>
        <v>96.749999999999986</v>
      </c>
    </row>
    <row r="13" spans="1:7" x14ac:dyDescent="0.35">
      <c r="A13" t="s">
        <v>39</v>
      </c>
      <c r="B13">
        <f t="shared" si="3"/>
        <v>66.5</v>
      </c>
      <c r="C13">
        <f t="shared" si="3"/>
        <v>195.75</v>
      </c>
      <c r="D13">
        <f t="shared" si="3"/>
        <v>53.199999999999996</v>
      </c>
      <c r="E13" s="7">
        <f t="shared" ref="E13:F13" si="6">(E10*(E$3-E$7))/2</f>
        <v>204.00000000000003</v>
      </c>
      <c r="F13" s="7">
        <f t="shared" si="6"/>
        <v>170</v>
      </c>
      <c r="G13" s="7">
        <f t="shared" ref="G13" si="7">(G10*(G$3-G$7))/2</f>
        <v>64.500000000000014</v>
      </c>
    </row>
    <row r="14" spans="1:7" x14ac:dyDescent="0.35">
      <c r="E14" s="7"/>
      <c r="F14" s="7"/>
      <c r="G14" s="7"/>
    </row>
    <row r="15" spans="1:7" x14ac:dyDescent="0.35">
      <c r="A15" t="s">
        <v>40</v>
      </c>
      <c r="B15">
        <f t="shared" ref="B15:G15" si="8">B12+B13</f>
        <v>166.25</v>
      </c>
      <c r="C15">
        <f t="shared" si="8"/>
        <v>326.25</v>
      </c>
      <c r="D15">
        <f t="shared" si="8"/>
        <v>133</v>
      </c>
      <c r="E15" s="7">
        <f t="shared" si="8"/>
        <v>510</v>
      </c>
      <c r="F15" s="7">
        <f t="shared" si="8"/>
        <v>425</v>
      </c>
      <c r="G15" s="7">
        <f t="shared" si="8"/>
        <v>161.25</v>
      </c>
    </row>
    <row r="16" spans="1:7" x14ac:dyDescent="0.35">
      <c r="E16" s="7"/>
      <c r="F16" s="7"/>
      <c r="G16" s="7"/>
    </row>
    <row r="17" spans="1:7" x14ac:dyDescent="0.35">
      <c r="A17" t="s">
        <v>41</v>
      </c>
      <c r="B17">
        <f t="shared" ref="B17:G17" si="9">B4*B7</f>
        <v>1312.5</v>
      </c>
      <c r="C17">
        <f t="shared" si="9"/>
        <v>1462.5</v>
      </c>
      <c r="D17">
        <f t="shared" si="9"/>
        <v>1050</v>
      </c>
      <c r="E17" s="7">
        <f t="shared" si="9"/>
        <v>1800</v>
      </c>
      <c r="F17" s="7">
        <f t="shared" si="9"/>
        <v>1500</v>
      </c>
      <c r="G17" s="7">
        <f t="shared" si="9"/>
        <v>1087.5</v>
      </c>
    </row>
    <row r="19" spans="1:7" x14ac:dyDescent="0.35">
      <c r="A19" t="s">
        <v>42</v>
      </c>
    </row>
    <row r="20" spans="1:7" x14ac:dyDescent="0.35">
      <c r="A20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A867-CA18-465B-8C2B-985AD9D100C3}">
  <dimension ref="A1:E5"/>
  <sheetViews>
    <sheetView workbookViewId="0">
      <selection activeCell="D5" sqref="D5"/>
    </sheetView>
  </sheetViews>
  <sheetFormatPr defaultRowHeight="14.5" x14ac:dyDescent="0.35"/>
  <sheetData>
    <row r="1" spans="1:5" x14ac:dyDescent="0.35">
      <c r="B1" t="s">
        <v>62</v>
      </c>
      <c r="C1" t="s">
        <v>57</v>
      </c>
      <c r="D1" s="4" t="s">
        <v>63</v>
      </c>
      <c r="E1" t="s">
        <v>64</v>
      </c>
    </row>
    <row r="2" spans="1:5" x14ac:dyDescent="0.35">
      <c r="A2" t="s">
        <v>60</v>
      </c>
      <c r="B2">
        <v>200</v>
      </c>
      <c r="C2">
        <v>200</v>
      </c>
      <c r="D2" s="4">
        <v>175</v>
      </c>
      <c r="E2">
        <v>225</v>
      </c>
    </row>
    <row r="3" spans="1:5" x14ac:dyDescent="0.35">
      <c r="A3" t="s">
        <v>12</v>
      </c>
      <c r="B3">
        <v>5</v>
      </c>
      <c r="C3">
        <v>10</v>
      </c>
      <c r="D3" s="4">
        <v>8</v>
      </c>
      <c r="E3">
        <v>5</v>
      </c>
    </row>
    <row r="4" spans="1:5" x14ac:dyDescent="0.35">
      <c r="A4" t="s">
        <v>26</v>
      </c>
      <c r="B4">
        <v>0.05</v>
      </c>
      <c r="C4">
        <v>0.08</v>
      </c>
      <c r="D4" s="4">
        <v>0.05</v>
      </c>
      <c r="E4">
        <v>0.125</v>
      </c>
    </row>
    <row r="5" spans="1:5" x14ac:dyDescent="0.35">
      <c r="A5" t="s">
        <v>61</v>
      </c>
      <c r="B5">
        <f>B2/(1+B4)^B3</f>
        <v>156.70523329369178</v>
      </c>
      <c r="C5">
        <f>C2/(1+C4)^C3</f>
        <v>92.638697616936852</v>
      </c>
      <c r="D5" s="4">
        <f>D2/(1+D4)^D3</f>
        <v>118.44688835502025</v>
      </c>
      <c r="E5">
        <f>E2/(1+E4)^E3</f>
        <v>124.85901539399482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2197-E01C-4206-9851-0BD356AEF7A0}">
  <dimension ref="A2:B6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44</v>
      </c>
      <c r="B2">
        <v>200</v>
      </c>
    </row>
    <row r="3" spans="1:2" x14ac:dyDescent="0.35">
      <c r="A3" t="s">
        <v>45</v>
      </c>
      <c r="B3">
        <v>75.599999999999994</v>
      </c>
    </row>
    <row r="4" spans="1:2" x14ac:dyDescent="0.35">
      <c r="A4" t="s">
        <v>26</v>
      </c>
      <c r="B4" s="4">
        <v>0.05</v>
      </c>
    </row>
    <row r="5" spans="1:2" x14ac:dyDescent="0.35">
      <c r="A5" t="s">
        <v>46</v>
      </c>
      <c r="B5">
        <v>125</v>
      </c>
    </row>
    <row r="6" spans="1:2" x14ac:dyDescent="0.35">
      <c r="A6" t="s">
        <v>47</v>
      </c>
      <c r="B6">
        <f>(1+B4)*((B2+(B3/(1+B4))-B5))</f>
        <v>154.35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5703-36DA-4813-8FD1-400B68A18B12}">
  <dimension ref="A2:B6"/>
  <sheetViews>
    <sheetView workbookViewId="0">
      <selection activeCell="B6" sqref="B6"/>
    </sheetView>
  </sheetViews>
  <sheetFormatPr defaultRowHeight="14.5" x14ac:dyDescent="0.35"/>
  <sheetData>
    <row r="2" spans="1:2" x14ac:dyDescent="0.35">
      <c r="A2" t="s">
        <v>48</v>
      </c>
      <c r="B2">
        <v>0.08</v>
      </c>
    </row>
    <row r="3" spans="1:2" x14ac:dyDescent="0.35">
      <c r="A3" t="s">
        <v>49</v>
      </c>
      <c r="B3">
        <v>0</v>
      </c>
    </row>
    <row r="4" spans="1:2" x14ac:dyDescent="0.35">
      <c r="A4" t="s">
        <v>50</v>
      </c>
      <c r="B4">
        <v>0.1</v>
      </c>
    </row>
    <row r="5" spans="1:2" x14ac:dyDescent="0.35">
      <c r="A5" t="s">
        <v>51</v>
      </c>
      <c r="B5">
        <v>0.2</v>
      </c>
    </row>
    <row r="6" spans="1:2" x14ac:dyDescent="0.35">
      <c r="A6" t="s">
        <v>52</v>
      </c>
      <c r="B6">
        <f>(B2/(1+B3))+((1+B4)/(1+B3))*B5</f>
        <v>0.30000000000000004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ACA6-F319-4CCA-B824-57F214AC5E36}">
  <dimension ref="A1"/>
  <sheetViews>
    <sheetView workbookViewId="0">
      <selection activeCell="D9" sqref="D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borda1_condorcet</vt:lpstr>
      <vt:lpstr>enp_sim</vt:lpstr>
      <vt:lpstr>imp</vt:lpstr>
      <vt:lpstr>incidencia1</vt:lpstr>
      <vt:lpstr>vp</vt:lpstr>
      <vt:lpstr>consumo</vt:lpstr>
      <vt:lpstr>deuda</vt:lpstr>
      <vt:lpstr>incidencia2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Freille</dc:creator>
  <cp:lastModifiedBy>Sebastian Freille</cp:lastModifiedBy>
  <dcterms:created xsi:type="dcterms:W3CDTF">2020-12-16T21:34:59Z</dcterms:created>
  <dcterms:modified xsi:type="dcterms:W3CDTF">2026-09-01T18:36:22Z</dcterms:modified>
</cp:coreProperties>
</file>